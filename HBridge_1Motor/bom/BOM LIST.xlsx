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Anh\Desktop\Workspace\Task3\"/>
    </mc:Choice>
  </mc:AlternateContent>
  <xr:revisionPtr revIDLastSave="0" documentId="13_ncr:1_{175F4563-24AC-4264-B289-3A0FA771C4F7}" xr6:coauthVersionLast="47" xr6:coauthVersionMax="47" xr10:uidLastSave="{00000000-0000-0000-0000-000000000000}"/>
  <bookViews>
    <workbookView xWindow="-108" yWindow="-108" windowWidth="23256" windowHeight="12456" xr2:uid="{2DFAE30D-3E08-4375-B9F7-87C031E98CFD}"/>
  </bookViews>
  <sheets>
    <sheet name="Sheet2" sheetId="2" r:id="rId1"/>
    <sheet name="Sheet1" sheetId="5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3" l="1"/>
  <c r="F32" i="2"/>
</calcChain>
</file>

<file path=xl/sharedStrings.xml><?xml version="1.0" encoding="utf-8"?>
<sst xmlns="http://schemas.openxmlformats.org/spreadsheetml/2006/main" count="324" uniqueCount="98">
  <si>
    <t>#</t>
  </si>
  <si>
    <t xml:space="preserve">Link </t>
  </si>
  <si>
    <t>Part of circuit</t>
  </si>
  <si>
    <t>Store</t>
  </si>
  <si>
    <t>Description</t>
  </si>
  <si>
    <t>Name</t>
  </si>
  <si>
    <t>Price</t>
  </si>
  <si>
    <t>Power</t>
  </si>
  <si>
    <t>Quantity</t>
  </si>
  <si>
    <t>IRF3205</t>
  </si>
  <si>
    <t>Thegioiic</t>
  </si>
  <si>
    <t>IC - Driver Half Bridge</t>
  </si>
  <si>
    <t>https://www.thegioiic.com/ir2101strpbf-mosfet-2-ngo-ra-360-ma-20v-8-soic</t>
  </si>
  <si>
    <t>https://www.thegioiic.com/irf3205spbf-cn-mosfet-kenh-n-55v-110a-to-263-3</t>
  </si>
  <si>
    <t xml:space="preserve">BRUSHED MOTOR DRIVER </t>
  </si>
  <si>
    <t>IR2104S</t>
  </si>
  <si>
    <t>0805 22Ohm</t>
  </si>
  <si>
    <t>GP1S093HCZ0F</t>
  </si>
  <si>
    <t>Light sensor</t>
  </si>
  <si>
    <t>XL4015</t>
  </si>
  <si>
    <t>IC Buck</t>
  </si>
  <si>
    <t>https://www.thegioiic.com/xl4015e1-ic-dieu-chinh-giam-ap-5a-to-263-5l</t>
  </si>
  <si>
    <t>AMS1117-5V</t>
  </si>
  <si>
    <t>https://www.thegioiic.com/ams1117-5-0v-ic-on-ap-5v-1a-sot-223</t>
  </si>
  <si>
    <t>IC LDO</t>
  </si>
  <si>
    <t>https://www.thegioiic.com/gp1s093hcz0f-cam-bien-quang-chu-u-khoang-do-2mm-npn</t>
  </si>
  <si>
    <t>Sensor</t>
  </si>
  <si>
    <t>HEF4001BT,653</t>
  </si>
  <si>
    <t>IC Nor gate</t>
  </si>
  <si>
    <t>0805 1uF (105) 50V</t>
  </si>
  <si>
    <t>Resistor</t>
  </si>
  <si>
    <t>Capacitor</t>
  </si>
  <si>
    <t>https://www.thegioiic.com/tu-gom-0805-1uf-50v</t>
  </si>
  <si>
    <t>0805 4.7K Ohm</t>
  </si>
  <si>
    <t>https://www.thegioiic.com/dien-tro-4-7-kohm-0805-1-</t>
  </si>
  <si>
    <t>https://www.thegioiic.com/dien-tro-22-ohm-0805-1-</t>
  </si>
  <si>
    <t>https://www.thegioiic.com/tu-gom-0805-100nf-0-1uf-50v</t>
  </si>
  <si>
    <t>0805 100nF (104) 50V</t>
  </si>
  <si>
    <t>https://www.thegioiic.com/dien-tro-10-kohm-0805-1-</t>
  </si>
  <si>
    <t>0805 10K Ohm</t>
  </si>
  <si>
    <t>https://www.thegioiic.com/dien-tro-10-ohm-0805-1-</t>
  </si>
  <si>
    <t>0805 10Ohm</t>
  </si>
  <si>
    <t>https://www.thegioiic.com/tu-gom-0805-10nf-50v</t>
  </si>
  <si>
    <t>0805 10nF (103) 50V</t>
  </si>
  <si>
    <t>https://www.thegioiic.com/dien-tro-220-ohm-0805-1-</t>
  </si>
  <si>
    <t>https://icdayroi.com/cuon-cam-tc5026-47uh-6a</t>
  </si>
  <si>
    <t>TC5025 47uH 6A</t>
  </si>
  <si>
    <t>Icdayroi</t>
  </si>
  <si>
    <t>Inductor</t>
  </si>
  <si>
    <t>https://www.thegioiic.com/zmm12-diode-zener-12v-500mw-smd</t>
  </si>
  <si>
    <t>Diode zenner 12V</t>
  </si>
  <si>
    <t>ZZM12 500W Smd</t>
  </si>
  <si>
    <t>https://www.thegioiic.com/cuon-cam-xuyen-lo-0912-4r7-4-7uh-5a</t>
  </si>
  <si>
    <t>https://www.thegioiic.com/tu-gom-0805-33nf-50v</t>
  </si>
  <si>
    <t>https://www.thegioiic.com/tu-gom-0805-22uf-16v</t>
  </si>
  <si>
    <t>https://www.thegioiic.com/tu-gom-0805-10uf-16v</t>
  </si>
  <si>
    <t>https://www.thegioiic.com/tu-hoa-330uf-25v-8x12-5mm-xuyen-lo</t>
  </si>
  <si>
    <t>https://www.thegioiic.com/tu-hoa-220uf-50v-10x13mm-xuyen-lo</t>
  </si>
  <si>
    <t xml:space="preserve">SMAJ28A </t>
  </si>
  <si>
    <t xml:space="preserve">TVS DIODE </t>
  </si>
  <si>
    <t>https://www.thegioiic.com/smaj28a-e3-61-tvs-diode-28v-45-4v-do214ac</t>
  </si>
  <si>
    <t>https://www.thegioiic.com/ss54-sma-diode-shotky-5a-40v</t>
  </si>
  <si>
    <t>SS54 5A 40V</t>
  </si>
  <si>
    <t>Diode Shotky</t>
  </si>
  <si>
    <t>https://www.thegioiic.com/dien-tro-13-kohm-0805-5-</t>
  </si>
  <si>
    <t>https://www.thegioiic.com/dien-tro-1-5-kohm-0805-1-</t>
  </si>
  <si>
    <t>https://www.thegioiic.com/tu-hoa-4-7uf-50v-5x11-5mm-xuyen-lo</t>
  </si>
  <si>
    <t>https://www.thegioiic.com/tu-hoa-470uf-50v-10x20mm-xuyen-lo</t>
  </si>
  <si>
    <t xml:space="preserve">UF4004 </t>
  </si>
  <si>
    <t>https://www.thegioiic.com/uf4004-diode-chinh-luu-1a-400v-do-41</t>
  </si>
  <si>
    <t>H-Bridge</t>
  </si>
  <si>
    <t>https://www.thegioiic.com/hef4001bt-653-ic-quad-2-input-nor-logic-gate-14-soic</t>
  </si>
  <si>
    <t>220 Ohm 0805 1%</t>
  </si>
  <si>
    <t>13 KOhm 0805 5%</t>
  </si>
  <si>
    <t>1.5 KOhm 0805 1%</t>
  </si>
  <si>
    <t>0805 33nF 50V</t>
  </si>
  <si>
    <t>0805 22uF 16V</t>
  </si>
  <si>
    <t>0805 10uF 16V</t>
  </si>
  <si>
    <t xml:space="preserve">330uF 25V 8x12.5mm </t>
  </si>
  <si>
    <t>220uF 50V 10x13mm</t>
  </si>
  <si>
    <t>4.7uF 50V 5x11.5mm</t>
  </si>
  <si>
    <t>470uF 50V 10x20mm</t>
  </si>
  <si>
    <t>0912-4R7 4.7uH 5A</t>
  </si>
  <si>
    <t xml:space="preserve">MOSFET </t>
  </si>
  <si>
    <t xml:space="preserve">Diode </t>
  </si>
  <si>
    <t>1. Bình thường (Quay thuận)</t>
  </si>
  <si>
    <t>2. Bình thường (Quay nghịch)</t>
  </si>
  <si>
    <t>3. Bi kẹt động cơ/quá dòng</t>
  </si>
  <si>
    <t>OUT_LM393 (Chân 1)</t>
  </si>
  <si>
    <t>PWM</t>
  </si>
  <si>
    <t>DIR</t>
  </si>
  <si>
    <t>IN_R</t>
  </si>
  <si>
    <t>IN_L</t>
  </si>
  <si>
    <t>x</t>
  </si>
  <si>
    <t>chân SD_EN = PWM</t>
  </si>
  <si>
    <t>LCSC</t>
  </si>
  <si>
    <t>https://www.lcsc.com/product-detail/C2874633.html?s_z=n_q_IRF3205&amp;spm=wm.fly.bg.2.xh&amp;lcsc_vid=RQddUAVUQlNfBlxTRgUIBAVQRQUIUgZUFFNbVlZRR1UxVlNeRFJcUl1QQ1JWVjsOAxUeFF5JWBYZEEoKFBINSQcJGk4%3D</t>
  </si>
  <si>
    <t>https://www.lcsc.com/product-detail/C2960.html?s_z=n_q_IR2104S&amp;spm=wm.fly.bg.0.xh&amp;lcsc_vid=RQddUAVUQlNfBlxTRgUIBAVQRQUIUgZUFFNbVlZRR1UxVlNeRFJcUVVeR1ReUTsOAxUeFF5JWBYZEEoKFBINSQcJGk4NBhADEA4cHktXQ1JYSQwSGg0%3D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</si>
</sst>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0" fontId="1" fillId="0" borderId="0" xfId="1" applyAlignment="1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</xdr:colOff>
      <xdr:row>1</xdr:row>
      <xdr:rowOff>19242</xdr:rowOff>
    </xdr:from>
    <xdr:to>
      <xdr:col>9</xdr:col>
      <xdr:colOff>160020</xdr:colOff>
      <xdr:row>10</xdr:row>
      <xdr:rowOff>115517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4014AF-FA9C-0E8C-C496-DD2756849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5040" y="202122"/>
          <a:ext cx="1356360" cy="1742195"/>
        </a:xfrm>
        <a:prstGeom prst="rect">
          <a:avLst/>
        </a:prstGeom>
      </xdr:spPr>
    </xdr:pic>
    <xdr:clientData/>
  </xdr:twoCellAnchor>
  <xdr:twoCellAnchor editAs="oneCell">
    <xdr:from>
      <xdr:col>9</xdr:col>
      <xdr:colOff>601980</xdr:colOff>
      <xdr:row>1</xdr:row>
      <xdr:rowOff>2907</xdr:rowOff>
    </xdr:from>
    <xdr:to>
      <xdr:col>17</xdr:col>
      <xdr:colOff>8231</xdr:colOff>
      <xdr:row>14</xdr:row>
      <xdr:rowOff>84170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A1DD68-5802-27B8-50FC-38E837B79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3360" y="185787"/>
          <a:ext cx="4283051" cy="2458703"/>
        </a:xfrm>
        <a:prstGeom prst="rect">
          <a:avLst/>
        </a:prstGeom>
      </xdr:spPr>
    </xdr:pic>
    <xdr:clientData/>
  </xdr:twoCellAnchor>
  <xdr:twoCellAnchor editAs="oneCell">
    <xdr:from>
      <xdr:col>18</xdr:col>
      <xdr:colOff>398417</xdr:colOff>
      <xdr:row>14</xdr:row>
      <xdr:rowOff>129508</xdr:rowOff>
    </xdr:from>
    <xdr:to>
      <xdr:col>24</xdr:col>
      <xdr:colOff>86321</xdr:colOff>
      <xdr:row>24</xdr:row>
      <xdr:rowOff>62218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B07CE0-AED0-4E6C-EEAE-F0C606C23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12931" y="2720308"/>
          <a:ext cx="3345504" cy="1783281"/>
        </a:xfrm>
        <a:prstGeom prst="rect">
          <a:avLst/>
        </a:prstGeom>
      </xdr:spPr>
    </xdr:pic>
    <xdr:clientData/>
  </xdr:twoCellAnchor>
  <xdr:twoCellAnchor editAs="oneCell">
    <xdr:from>
      <xdr:col>10</xdr:col>
      <xdr:colOff>16329</xdr:colOff>
      <xdr:row>14</xdr:row>
      <xdr:rowOff>130629</xdr:rowOff>
    </xdr:from>
    <xdr:to>
      <xdr:col>18</xdr:col>
      <xdr:colOff>368422</xdr:colOff>
      <xdr:row>34</xdr:row>
      <xdr:rowOff>66838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2A8A89-E945-50E7-C5C8-F59873CC2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54043" y="2721429"/>
          <a:ext cx="5228893" cy="3637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ioiic.com/dien-tro-4-7-kohm-0805-1-" TargetMode="External"/><Relationship Id="rId13" Type="http://schemas.openxmlformats.org/officeDocument/2006/relationships/hyperlink" Target="https://www.thegioiic.com/tu-gom-0805-10nf-50v" TargetMode="External"/><Relationship Id="rId18" Type="http://schemas.openxmlformats.org/officeDocument/2006/relationships/hyperlink" Target="https://www.thegioiic.com/tu-gom-0805-33nf-50v" TargetMode="External"/><Relationship Id="rId26" Type="http://schemas.openxmlformats.org/officeDocument/2006/relationships/hyperlink" Target="https://www.thegioiic.com/dien-tro-1-5-kohm-0805-1-" TargetMode="External"/><Relationship Id="rId3" Type="http://schemas.openxmlformats.org/officeDocument/2006/relationships/hyperlink" Target="https://www.thegioiic.com/hef4001bt-653-ic-quad-2-input-nor-logic-gate-14-soic" TargetMode="External"/><Relationship Id="rId21" Type="http://schemas.openxmlformats.org/officeDocument/2006/relationships/hyperlink" Target="https://www.thegioiic.com/tu-hoa-330uf-25v-8x12-5mm-xuyen-lo" TargetMode="External"/><Relationship Id="rId7" Type="http://schemas.openxmlformats.org/officeDocument/2006/relationships/hyperlink" Target="https://www.thegioiic.com/tu-gom-0805-1uf-50v" TargetMode="External"/><Relationship Id="rId12" Type="http://schemas.openxmlformats.org/officeDocument/2006/relationships/hyperlink" Target="https://www.thegioiic.com/dien-tro-10-ohm-0805-1-" TargetMode="External"/><Relationship Id="rId17" Type="http://schemas.openxmlformats.org/officeDocument/2006/relationships/hyperlink" Target="https://www.thegioiic.com/cuon-cam-xuyen-lo-0912-4r7-4-7uh-5a" TargetMode="External"/><Relationship Id="rId25" Type="http://schemas.openxmlformats.org/officeDocument/2006/relationships/hyperlink" Target="https://www.thegioiic.com/dien-tro-13-kohm-0805-5-" TargetMode="External"/><Relationship Id="rId2" Type="http://schemas.openxmlformats.org/officeDocument/2006/relationships/hyperlink" Target="https://www.thegioiic.com/irf3205spbf-cn-mosfet-kenh-n-55v-110a-to-263-3" TargetMode="External"/><Relationship Id="rId16" Type="http://schemas.openxmlformats.org/officeDocument/2006/relationships/hyperlink" Target="https://www.thegioiic.com/zmm12-diode-zener-12v-500mw-smd" TargetMode="External"/><Relationship Id="rId20" Type="http://schemas.openxmlformats.org/officeDocument/2006/relationships/hyperlink" Target="https://www.thegioiic.com/tu-gom-0805-10uf-16v" TargetMode="External"/><Relationship Id="rId29" Type="http://schemas.openxmlformats.org/officeDocument/2006/relationships/hyperlink" Target="https://www.thegioiic.com/uf4004-diode-chinh-luu-1a-400v-do-41" TargetMode="External"/><Relationship Id="rId1" Type="http://schemas.openxmlformats.org/officeDocument/2006/relationships/hyperlink" Target="https://www.thegioiic.com/ir2101strpbf-mosfet-2-ngo-ra-360-ma-20v-8-soic" TargetMode="External"/><Relationship Id="rId6" Type="http://schemas.openxmlformats.org/officeDocument/2006/relationships/hyperlink" Target="https://www.thegioiic.com/gp1s093hcz0f-cam-bien-quang-chu-u-khoang-do-2mm-npn" TargetMode="External"/><Relationship Id="rId11" Type="http://schemas.openxmlformats.org/officeDocument/2006/relationships/hyperlink" Target="https://www.thegioiic.com/dien-tro-10-kohm-0805-1-" TargetMode="External"/><Relationship Id="rId24" Type="http://schemas.openxmlformats.org/officeDocument/2006/relationships/hyperlink" Target="https://www.thegioiic.com/ss54-sma-diode-shotky-5a-40v" TargetMode="External"/><Relationship Id="rId5" Type="http://schemas.openxmlformats.org/officeDocument/2006/relationships/hyperlink" Target="https://www.thegioiic.com/ams1117-5-0v-ic-on-ap-5v-1a-sot-223" TargetMode="External"/><Relationship Id="rId15" Type="http://schemas.openxmlformats.org/officeDocument/2006/relationships/hyperlink" Target="https://icdayroi.com/cuon-cam-tc5026-47uh-6a" TargetMode="External"/><Relationship Id="rId23" Type="http://schemas.openxmlformats.org/officeDocument/2006/relationships/hyperlink" Target="https://www.thegioiic.com/smaj28a-e3-61-tvs-diode-28v-45-4v-do214ac" TargetMode="External"/><Relationship Id="rId28" Type="http://schemas.openxmlformats.org/officeDocument/2006/relationships/hyperlink" Target="https://www.thegioiic.com/tu-hoa-470uf-50v-10x20mm-xuyen-lo" TargetMode="External"/><Relationship Id="rId10" Type="http://schemas.openxmlformats.org/officeDocument/2006/relationships/hyperlink" Target="https://www.thegioiic.com/tu-gom-0805-100nf-0-1uf-50v" TargetMode="External"/><Relationship Id="rId19" Type="http://schemas.openxmlformats.org/officeDocument/2006/relationships/hyperlink" Target="https://www.thegioiic.com/tu-gom-0805-22uf-16v" TargetMode="External"/><Relationship Id="rId31" Type="http://schemas.openxmlformats.org/officeDocument/2006/relationships/hyperlink" Target="https://www.lcsc.com/product-detail/C2960.html?s_z=n_q_IR2104S&amp;spm=wm.fly.bg.0.xh&amp;lcsc_vid=RQddUAVUQlNfBlxTRgUIBAVQRQUIUgZUFFNbVlZRR1UxVlNeRFJcUVVeR1ReUTsOAxUeFF5JWBYZEEoKFBINSQcJGk4NBhADEA4cHktXQ1JYSQwSGg0%3D" TargetMode="External"/><Relationship Id="rId4" Type="http://schemas.openxmlformats.org/officeDocument/2006/relationships/hyperlink" Target="https://www.thegioiic.com/xl4015e1-ic-dieu-chinh-giam-ap-5a-to-263-5l" TargetMode="External"/><Relationship Id="rId9" Type="http://schemas.openxmlformats.org/officeDocument/2006/relationships/hyperlink" Target="https://www.thegioiic.com/dien-tro-22-ohm-0805-1-" TargetMode="External"/><Relationship Id="rId14" Type="http://schemas.openxmlformats.org/officeDocument/2006/relationships/hyperlink" Target="https://www.thegioiic.com/dien-tro-220-ohm-0805-1-" TargetMode="External"/><Relationship Id="rId22" Type="http://schemas.openxmlformats.org/officeDocument/2006/relationships/hyperlink" Target="https://www.thegioiic.com/tu-hoa-220uf-50v-10x13mm-xuyen-lo" TargetMode="External"/><Relationship Id="rId27" Type="http://schemas.openxmlformats.org/officeDocument/2006/relationships/hyperlink" Target="https://www.thegioiic.com/tu-hoa-4-7uf-50v-5x11-5mm-xuyen-lo" TargetMode="External"/><Relationship Id="rId30" Type="http://schemas.openxmlformats.org/officeDocument/2006/relationships/hyperlink" Target="https://www.lcsc.com/product-detail/C2874633.html?s_z=n_q_IRF3205&amp;spm=wm.fly.bg.2.xh&amp;lcsc_vid=RQddUAVUQlNfBlxTRgUIBAVQRQUIUgZUFFNbVlZRR1UxVlNeRFJcUl1QQ1JWVjsOAxUeFF5JWBYZEEoKFBINSQcJGk4%3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ioiic.com/dien-tro-4-7-kohm-0805-1-" TargetMode="External"/><Relationship Id="rId13" Type="http://schemas.openxmlformats.org/officeDocument/2006/relationships/hyperlink" Target="https://www.thegioiic.com/tu-gom-0805-10nf-50v" TargetMode="External"/><Relationship Id="rId18" Type="http://schemas.openxmlformats.org/officeDocument/2006/relationships/hyperlink" Target="https://www.thegioiic.com/tu-gom-0805-33nf-50v" TargetMode="External"/><Relationship Id="rId26" Type="http://schemas.openxmlformats.org/officeDocument/2006/relationships/hyperlink" Target="https://www.thegioiic.com/dien-tro-1-5-kohm-0805-1-" TargetMode="External"/><Relationship Id="rId3" Type="http://schemas.openxmlformats.org/officeDocument/2006/relationships/hyperlink" Target="https://www.thegioiic.com/hef4001bt-653-ic-quad-2-input-nor-logic-gate-14-soic" TargetMode="External"/><Relationship Id="rId21" Type="http://schemas.openxmlformats.org/officeDocument/2006/relationships/hyperlink" Target="https://www.thegioiic.com/tu-hoa-330uf-25v-8x12-5mm-xuyen-lo" TargetMode="External"/><Relationship Id="rId7" Type="http://schemas.openxmlformats.org/officeDocument/2006/relationships/hyperlink" Target="https://www.thegioiic.com/tu-gom-0805-1uf-50v" TargetMode="External"/><Relationship Id="rId12" Type="http://schemas.openxmlformats.org/officeDocument/2006/relationships/hyperlink" Target="https://www.thegioiic.com/dien-tro-10-ohm-0805-1-" TargetMode="External"/><Relationship Id="rId17" Type="http://schemas.openxmlformats.org/officeDocument/2006/relationships/hyperlink" Target="https://www.thegioiic.com/cuon-cam-xuyen-lo-0912-4r7-4-7uh-5a" TargetMode="External"/><Relationship Id="rId25" Type="http://schemas.openxmlformats.org/officeDocument/2006/relationships/hyperlink" Target="https://www.thegioiic.com/dien-tro-13-kohm-0805-5-" TargetMode="External"/><Relationship Id="rId2" Type="http://schemas.openxmlformats.org/officeDocument/2006/relationships/hyperlink" Target="https://www.thegioiic.com/irf3205spbf-cn-mosfet-kenh-n-55v-110a-to-263-3" TargetMode="External"/><Relationship Id="rId16" Type="http://schemas.openxmlformats.org/officeDocument/2006/relationships/hyperlink" Target="https://www.thegioiic.com/zmm12-diode-zener-12v-500mw-smd" TargetMode="External"/><Relationship Id="rId20" Type="http://schemas.openxmlformats.org/officeDocument/2006/relationships/hyperlink" Target="https://www.thegioiic.com/tu-gom-0805-10uf-16v" TargetMode="External"/><Relationship Id="rId29" Type="http://schemas.openxmlformats.org/officeDocument/2006/relationships/hyperlink" Target="https://www.thegioiic.com/uf4004-diode-chinh-luu-1a-400v-do-41" TargetMode="External"/><Relationship Id="rId1" Type="http://schemas.openxmlformats.org/officeDocument/2006/relationships/hyperlink" Target="https://www.thegioiic.com/ir2101strpbf-mosfet-2-ngo-ra-360-ma-20v-8-soic" TargetMode="External"/><Relationship Id="rId6" Type="http://schemas.openxmlformats.org/officeDocument/2006/relationships/hyperlink" Target="https://www.thegioiic.com/gp1s093hcz0f-cam-bien-quang-chu-u-khoang-do-2mm-npn" TargetMode="External"/><Relationship Id="rId11" Type="http://schemas.openxmlformats.org/officeDocument/2006/relationships/hyperlink" Target="https://www.thegioiic.com/dien-tro-10-kohm-0805-1-" TargetMode="External"/><Relationship Id="rId24" Type="http://schemas.openxmlformats.org/officeDocument/2006/relationships/hyperlink" Target="https://www.thegioiic.com/ss54-sma-diode-shotky-5a-40v" TargetMode="External"/><Relationship Id="rId5" Type="http://schemas.openxmlformats.org/officeDocument/2006/relationships/hyperlink" Target="https://www.thegioiic.com/ams1117-5-0v-ic-on-ap-5v-1a-sot-223" TargetMode="External"/><Relationship Id="rId15" Type="http://schemas.openxmlformats.org/officeDocument/2006/relationships/hyperlink" Target="https://icdayroi.com/cuon-cam-tc5026-47uh-6a" TargetMode="External"/><Relationship Id="rId23" Type="http://schemas.openxmlformats.org/officeDocument/2006/relationships/hyperlink" Target="https://www.thegioiic.com/smaj28a-e3-61-tvs-diode-28v-45-4v-do214ac" TargetMode="External"/><Relationship Id="rId28" Type="http://schemas.openxmlformats.org/officeDocument/2006/relationships/hyperlink" Target="https://www.thegioiic.com/tu-hoa-470uf-50v-10x20mm-xuyen-lo" TargetMode="External"/><Relationship Id="rId10" Type="http://schemas.openxmlformats.org/officeDocument/2006/relationships/hyperlink" Target="https://www.thegioiic.com/tu-gom-0805-100nf-0-1uf-50v" TargetMode="External"/><Relationship Id="rId19" Type="http://schemas.openxmlformats.org/officeDocument/2006/relationships/hyperlink" Target="https://www.thegioiic.com/tu-gom-0805-22uf-16v" TargetMode="External"/><Relationship Id="rId4" Type="http://schemas.openxmlformats.org/officeDocument/2006/relationships/hyperlink" Target="https://www.thegioiic.com/xl4015e1-ic-dieu-chinh-giam-ap-5a-to-263-5l" TargetMode="External"/><Relationship Id="rId9" Type="http://schemas.openxmlformats.org/officeDocument/2006/relationships/hyperlink" Target="https://www.thegioiic.com/dien-tro-22-ohm-0805-1-" TargetMode="External"/><Relationship Id="rId14" Type="http://schemas.openxmlformats.org/officeDocument/2006/relationships/hyperlink" Target="https://www.thegioiic.com/dien-tro-220-ohm-0805-1-" TargetMode="External"/><Relationship Id="rId22" Type="http://schemas.openxmlformats.org/officeDocument/2006/relationships/hyperlink" Target="https://www.thegioiic.com/tu-hoa-220uf-50v-10x13mm-xuyen-lo" TargetMode="External"/><Relationship Id="rId27" Type="http://schemas.openxmlformats.org/officeDocument/2006/relationships/hyperlink" Target="https://www.thegioiic.com/tu-hoa-4-7uf-50v-5x11-5mm-xuyen-l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015D-BEF7-42F4-8CB5-8DC24F956FB3}">
  <dimension ref="A1:I32"/>
  <sheetViews>
    <sheetView tabSelected="1" topLeftCell="B1" zoomScaleNormal="100" workbookViewId="0">
      <selection activeCell="I2" sqref="I2"/>
    </sheetView>
  </sheetViews>
  <sheetFormatPr defaultRowHeight="14.4" x14ac:dyDescent="0.3"/>
  <cols>
    <col min="2" max="2" width="19.109375" bestFit="1" customWidth="1"/>
    <col min="3" max="3" width="12.44140625" customWidth="1"/>
    <col min="4" max="4" width="20.109375" customWidth="1"/>
    <col min="6" max="6" width="11.5546875" bestFit="1" customWidth="1"/>
    <col min="7" max="7" width="75.44140625" bestFit="1" customWidth="1"/>
    <col min="8" max="8" width="12.88671875" customWidth="1"/>
  </cols>
  <sheetData>
    <row r="1" spans="1:9" x14ac:dyDescent="0.3">
      <c r="A1" s="1" t="s">
        <v>14</v>
      </c>
    </row>
    <row r="2" spans="1:9" x14ac:dyDescent="0.3">
      <c r="A2" s="4" t="s">
        <v>0</v>
      </c>
      <c r="B2" s="4" t="s">
        <v>5</v>
      </c>
      <c r="C2" s="4" t="s">
        <v>3</v>
      </c>
      <c r="D2" s="4" t="s">
        <v>4</v>
      </c>
      <c r="E2" s="4" t="s">
        <v>8</v>
      </c>
      <c r="F2" s="4" t="s">
        <v>6</v>
      </c>
      <c r="G2" s="4" t="s">
        <v>1</v>
      </c>
      <c r="H2" s="4" t="s">
        <v>2</v>
      </c>
      <c r="I2" s="4" t="s">
        <v>95</v>
      </c>
    </row>
    <row r="3" spans="1:9" x14ac:dyDescent="0.3">
      <c r="A3">
        <v>1</v>
      </c>
      <c r="B3" t="s">
        <v>15</v>
      </c>
      <c r="C3" t="s">
        <v>10</v>
      </c>
      <c r="D3" t="s">
        <v>11</v>
      </c>
      <c r="E3">
        <v>2</v>
      </c>
      <c r="F3" s="2">
        <v>35000</v>
      </c>
      <c r="G3" s="3" t="s">
        <v>12</v>
      </c>
      <c r="H3" t="s">
        <v>70</v>
      </c>
      <c r="I3" s="5" t="s">
        <v>97</v>
      </c>
    </row>
    <row r="4" spans="1:9" x14ac:dyDescent="0.3">
      <c r="A4">
        <v>2</v>
      </c>
      <c r="B4" t="s">
        <v>9</v>
      </c>
      <c r="C4" t="s">
        <v>10</v>
      </c>
      <c r="D4" t="s">
        <v>83</v>
      </c>
      <c r="E4">
        <v>5</v>
      </c>
      <c r="F4" s="2">
        <v>40000</v>
      </c>
      <c r="G4" s="3" t="s">
        <v>13</v>
      </c>
      <c r="H4" t="s">
        <v>70</v>
      </c>
      <c r="I4" s="5" t="s">
        <v>96</v>
      </c>
    </row>
    <row r="5" spans="1:9" x14ac:dyDescent="0.3">
      <c r="A5">
        <v>3</v>
      </c>
      <c r="B5" t="s">
        <v>27</v>
      </c>
      <c r="C5" t="s">
        <v>10</v>
      </c>
      <c r="D5" t="s">
        <v>28</v>
      </c>
      <c r="E5">
        <v>1</v>
      </c>
      <c r="F5" s="2">
        <v>3420</v>
      </c>
      <c r="G5" s="3" t="s">
        <v>71</v>
      </c>
      <c r="H5" t="s">
        <v>70</v>
      </c>
    </row>
    <row r="6" spans="1:9" x14ac:dyDescent="0.3">
      <c r="A6">
        <v>4</v>
      </c>
      <c r="B6" t="s">
        <v>17</v>
      </c>
      <c r="C6" t="s">
        <v>10</v>
      </c>
      <c r="D6" t="s">
        <v>18</v>
      </c>
      <c r="E6">
        <v>4</v>
      </c>
      <c r="F6" s="2">
        <v>36000</v>
      </c>
      <c r="G6" s="3" t="s">
        <v>25</v>
      </c>
      <c r="H6" t="s">
        <v>26</v>
      </c>
    </row>
    <row r="7" spans="1:9" x14ac:dyDescent="0.3">
      <c r="A7">
        <v>5</v>
      </c>
      <c r="B7" t="s">
        <v>19</v>
      </c>
      <c r="C7" t="s">
        <v>10</v>
      </c>
      <c r="D7" t="s">
        <v>20</v>
      </c>
      <c r="E7">
        <v>1</v>
      </c>
      <c r="F7" s="2">
        <v>14820</v>
      </c>
      <c r="G7" s="3" t="s">
        <v>21</v>
      </c>
      <c r="H7" t="s">
        <v>7</v>
      </c>
    </row>
    <row r="8" spans="1:9" x14ac:dyDescent="0.3">
      <c r="A8">
        <v>6</v>
      </c>
      <c r="B8" t="s">
        <v>22</v>
      </c>
      <c r="C8" t="s">
        <v>10</v>
      </c>
      <c r="D8" t="s">
        <v>24</v>
      </c>
      <c r="E8">
        <v>1</v>
      </c>
      <c r="F8" s="2">
        <v>4000</v>
      </c>
      <c r="G8" s="3" t="s">
        <v>23</v>
      </c>
      <c r="H8" t="s">
        <v>7</v>
      </c>
    </row>
    <row r="9" spans="1:9" x14ac:dyDescent="0.3">
      <c r="A9">
        <v>7</v>
      </c>
      <c r="B9" t="s">
        <v>58</v>
      </c>
      <c r="C9" t="s">
        <v>10</v>
      </c>
      <c r="D9" t="s">
        <v>59</v>
      </c>
      <c r="E9">
        <v>1</v>
      </c>
      <c r="F9" s="2">
        <v>3420</v>
      </c>
      <c r="G9" s="3" t="s">
        <v>60</v>
      </c>
      <c r="H9" t="s">
        <v>7</v>
      </c>
    </row>
    <row r="10" spans="1:9" x14ac:dyDescent="0.3">
      <c r="A10">
        <v>8</v>
      </c>
      <c r="B10" t="s">
        <v>51</v>
      </c>
      <c r="C10" t="s">
        <v>10</v>
      </c>
      <c r="D10" t="s">
        <v>50</v>
      </c>
      <c r="E10">
        <v>20</v>
      </c>
      <c r="F10" s="2">
        <v>6840</v>
      </c>
      <c r="G10" s="3" t="s">
        <v>49</v>
      </c>
      <c r="H10" t="s">
        <v>7</v>
      </c>
    </row>
    <row r="11" spans="1:9" x14ac:dyDescent="0.3">
      <c r="A11">
        <v>9</v>
      </c>
      <c r="B11" t="s">
        <v>62</v>
      </c>
      <c r="C11" t="s">
        <v>10</v>
      </c>
      <c r="D11" t="s">
        <v>63</v>
      </c>
      <c r="E11">
        <v>1</v>
      </c>
      <c r="F11" s="2">
        <v>1140</v>
      </c>
      <c r="G11" s="3" t="s">
        <v>61</v>
      </c>
      <c r="H11" t="s">
        <v>7</v>
      </c>
    </row>
    <row r="12" spans="1:9" x14ac:dyDescent="0.3">
      <c r="A12">
        <v>10</v>
      </c>
      <c r="B12" t="s">
        <v>68</v>
      </c>
      <c r="C12" t="s">
        <v>10</v>
      </c>
      <c r="D12" t="s">
        <v>84</v>
      </c>
      <c r="E12">
        <v>20</v>
      </c>
      <c r="F12" s="2">
        <v>9120</v>
      </c>
      <c r="G12" s="3" t="s">
        <v>69</v>
      </c>
      <c r="H12" t="s">
        <v>70</v>
      </c>
    </row>
    <row r="13" spans="1:9" x14ac:dyDescent="0.3">
      <c r="A13">
        <v>11</v>
      </c>
      <c r="B13" t="s">
        <v>16</v>
      </c>
      <c r="C13" t="s">
        <v>10</v>
      </c>
      <c r="D13" t="s">
        <v>30</v>
      </c>
      <c r="E13">
        <v>50</v>
      </c>
      <c r="F13" s="2">
        <v>4750</v>
      </c>
      <c r="G13" s="3" t="s">
        <v>35</v>
      </c>
      <c r="H13" t="s">
        <v>7</v>
      </c>
    </row>
    <row r="14" spans="1:9" x14ac:dyDescent="0.3">
      <c r="A14">
        <v>12</v>
      </c>
      <c r="B14" t="s">
        <v>33</v>
      </c>
      <c r="C14" t="s">
        <v>10</v>
      </c>
      <c r="D14" t="s">
        <v>30</v>
      </c>
      <c r="E14">
        <v>50</v>
      </c>
      <c r="F14" s="2">
        <v>4750</v>
      </c>
      <c r="G14" s="3" t="s">
        <v>34</v>
      </c>
      <c r="H14" t="s">
        <v>7</v>
      </c>
    </row>
    <row r="15" spans="1:9" x14ac:dyDescent="0.3">
      <c r="A15">
        <v>13</v>
      </c>
      <c r="B15" t="s">
        <v>39</v>
      </c>
      <c r="C15" t="s">
        <v>10</v>
      </c>
      <c r="D15" t="s">
        <v>30</v>
      </c>
      <c r="E15">
        <v>50</v>
      </c>
      <c r="F15" s="2">
        <v>4750</v>
      </c>
      <c r="G15" s="3" t="s">
        <v>38</v>
      </c>
      <c r="H15" t="s">
        <v>7</v>
      </c>
    </row>
    <row r="16" spans="1:9" x14ac:dyDescent="0.3">
      <c r="A16">
        <v>14</v>
      </c>
      <c r="B16" t="s">
        <v>41</v>
      </c>
      <c r="C16" t="s">
        <v>10</v>
      </c>
      <c r="D16" t="s">
        <v>30</v>
      </c>
      <c r="E16">
        <v>50</v>
      </c>
      <c r="F16" s="2">
        <v>4750</v>
      </c>
      <c r="G16" s="3" t="s">
        <v>40</v>
      </c>
      <c r="H16" t="s">
        <v>7</v>
      </c>
    </row>
    <row r="17" spans="1:8" x14ac:dyDescent="0.3">
      <c r="A17">
        <v>15</v>
      </c>
      <c r="B17" t="s">
        <v>72</v>
      </c>
      <c r="C17" t="s">
        <v>10</v>
      </c>
      <c r="D17" t="s">
        <v>30</v>
      </c>
      <c r="E17">
        <v>50</v>
      </c>
      <c r="F17" s="2">
        <v>4750</v>
      </c>
      <c r="G17" s="3" t="s">
        <v>44</v>
      </c>
      <c r="H17" t="s">
        <v>7</v>
      </c>
    </row>
    <row r="18" spans="1:8" x14ac:dyDescent="0.3">
      <c r="A18">
        <v>16</v>
      </c>
      <c r="B18" t="s">
        <v>73</v>
      </c>
      <c r="C18" t="s">
        <v>10</v>
      </c>
      <c r="D18" t="s">
        <v>30</v>
      </c>
      <c r="E18">
        <v>50</v>
      </c>
      <c r="F18" s="2">
        <v>4100</v>
      </c>
      <c r="G18" s="3" t="s">
        <v>64</v>
      </c>
      <c r="H18" t="s">
        <v>7</v>
      </c>
    </row>
    <row r="19" spans="1:8" x14ac:dyDescent="0.3">
      <c r="A19">
        <v>17</v>
      </c>
      <c r="B19" t="s">
        <v>74</v>
      </c>
      <c r="C19" t="s">
        <v>10</v>
      </c>
      <c r="D19" t="s">
        <v>30</v>
      </c>
      <c r="E19">
        <v>50</v>
      </c>
      <c r="F19" s="2">
        <v>4750</v>
      </c>
      <c r="G19" s="3" t="s">
        <v>65</v>
      </c>
      <c r="H19" t="s">
        <v>7</v>
      </c>
    </row>
    <row r="20" spans="1:8" x14ac:dyDescent="0.3">
      <c r="A20">
        <v>18</v>
      </c>
      <c r="B20" t="s">
        <v>29</v>
      </c>
      <c r="C20" t="s">
        <v>10</v>
      </c>
      <c r="D20" t="s">
        <v>31</v>
      </c>
      <c r="E20">
        <v>20</v>
      </c>
      <c r="F20" s="2">
        <v>7980</v>
      </c>
      <c r="G20" s="3" t="s">
        <v>32</v>
      </c>
      <c r="H20" t="s">
        <v>7</v>
      </c>
    </row>
    <row r="21" spans="1:8" x14ac:dyDescent="0.3">
      <c r="A21">
        <v>19</v>
      </c>
      <c r="B21" t="s">
        <v>37</v>
      </c>
      <c r="C21" t="s">
        <v>10</v>
      </c>
      <c r="D21" t="s">
        <v>31</v>
      </c>
      <c r="E21">
        <v>20</v>
      </c>
      <c r="F21" s="2">
        <v>4340</v>
      </c>
      <c r="G21" s="3" t="s">
        <v>36</v>
      </c>
      <c r="H21" t="s">
        <v>7</v>
      </c>
    </row>
    <row r="22" spans="1:8" x14ac:dyDescent="0.3">
      <c r="A22">
        <v>20</v>
      </c>
      <c r="B22" t="s">
        <v>43</v>
      </c>
      <c r="C22" t="s">
        <v>10</v>
      </c>
      <c r="D22" t="s">
        <v>31</v>
      </c>
      <c r="E22">
        <v>20</v>
      </c>
      <c r="F22" s="2">
        <v>4340</v>
      </c>
      <c r="G22" s="3" t="s">
        <v>42</v>
      </c>
      <c r="H22" t="s">
        <v>7</v>
      </c>
    </row>
    <row r="23" spans="1:8" x14ac:dyDescent="0.3">
      <c r="A23">
        <v>21</v>
      </c>
      <c r="B23" t="s">
        <v>75</v>
      </c>
      <c r="C23" t="s">
        <v>10</v>
      </c>
      <c r="D23" t="s">
        <v>31</v>
      </c>
      <c r="E23">
        <v>20</v>
      </c>
      <c r="F23" s="2">
        <v>4340</v>
      </c>
      <c r="G23" s="3" t="s">
        <v>53</v>
      </c>
      <c r="H23" t="s">
        <v>7</v>
      </c>
    </row>
    <row r="24" spans="1:8" x14ac:dyDescent="0.3">
      <c r="A24">
        <v>22</v>
      </c>
      <c r="B24" t="s">
        <v>76</v>
      </c>
      <c r="C24" t="s">
        <v>10</v>
      </c>
      <c r="D24" t="s">
        <v>31</v>
      </c>
      <c r="E24">
        <v>10</v>
      </c>
      <c r="F24" s="2">
        <v>9120</v>
      </c>
      <c r="G24" s="3" t="s">
        <v>54</v>
      </c>
      <c r="H24" t="s">
        <v>7</v>
      </c>
    </row>
    <row r="25" spans="1:8" x14ac:dyDescent="0.3">
      <c r="A25">
        <v>23</v>
      </c>
      <c r="B25" t="s">
        <v>77</v>
      </c>
      <c r="C25" t="s">
        <v>10</v>
      </c>
      <c r="D25" t="s">
        <v>31</v>
      </c>
      <c r="E25">
        <v>10</v>
      </c>
      <c r="F25" s="2">
        <v>5700</v>
      </c>
      <c r="G25" s="3" t="s">
        <v>55</v>
      </c>
      <c r="H25" t="s">
        <v>7</v>
      </c>
    </row>
    <row r="26" spans="1:8" x14ac:dyDescent="0.3">
      <c r="A26">
        <v>24</v>
      </c>
      <c r="B26" t="s">
        <v>78</v>
      </c>
      <c r="C26" t="s">
        <v>10</v>
      </c>
      <c r="D26" t="s">
        <v>31</v>
      </c>
      <c r="E26">
        <v>10</v>
      </c>
      <c r="F26" s="2">
        <v>6840</v>
      </c>
      <c r="G26" s="3" t="s">
        <v>56</v>
      </c>
      <c r="H26" t="s">
        <v>7</v>
      </c>
    </row>
    <row r="27" spans="1:8" x14ac:dyDescent="0.3">
      <c r="A27">
        <v>25</v>
      </c>
      <c r="B27" t="s">
        <v>79</v>
      </c>
      <c r="C27" t="s">
        <v>10</v>
      </c>
      <c r="D27" t="s">
        <v>31</v>
      </c>
      <c r="E27">
        <v>5</v>
      </c>
      <c r="F27" s="2">
        <v>8550</v>
      </c>
      <c r="G27" s="3" t="s">
        <v>57</v>
      </c>
      <c r="H27" t="s">
        <v>7</v>
      </c>
    </row>
    <row r="28" spans="1:8" x14ac:dyDescent="0.3">
      <c r="A28">
        <v>26</v>
      </c>
      <c r="B28" t="s">
        <v>80</v>
      </c>
      <c r="C28" t="s">
        <v>10</v>
      </c>
      <c r="D28" t="s">
        <v>31</v>
      </c>
      <c r="E28">
        <v>20</v>
      </c>
      <c r="F28" s="2">
        <v>10260</v>
      </c>
      <c r="G28" s="3" t="s">
        <v>66</v>
      </c>
      <c r="H28" t="s">
        <v>7</v>
      </c>
    </row>
    <row r="29" spans="1:8" x14ac:dyDescent="0.3">
      <c r="A29">
        <v>27</v>
      </c>
      <c r="B29" t="s">
        <v>81</v>
      </c>
      <c r="C29" t="s">
        <v>10</v>
      </c>
      <c r="D29" t="s">
        <v>31</v>
      </c>
      <c r="E29">
        <v>3</v>
      </c>
      <c r="F29" s="2">
        <v>7182</v>
      </c>
      <c r="G29" s="3" t="s">
        <v>67</v>
      </c>
      <c r="H29" t="s">
        <v>7</v>
      </c>
    </row>
    <row r="30" spans="1:8" x14ac:dyDescent="0.3">
      <c r="A30">
        <v>28</v>
      </c>
      <c r="B30" t="s">
        <v>46</v>
      </c>
      <c r="C30" t="s">
        <v>47</v>
      </c>
      <c r="D30" t="s">
        <v>48</v>
      </c>
      <c r="E30">
        <v>1</v>
      </c>
      <c r="F30" s="2">
        <v>4000</v>
      </c>
      <c r="G30" s="3" t="s">
        <v>45</v>
      </c>
      <c r="H30" t="s">
        <v>7</v>
      </c>
    </row>
    <row r="31" spans="1:8" x14ac:dyDescent="0.3">
      <c r="A31">
        <v>29</v>
      </c>
      <c r="B31" t="s">
        <v>82</v>
      </c>
      <c r="C31" t="s">
        <v>10</v>
      </c>
      <c r="D31" t="s">
        <v>48</v>
      </c>
      <c r="E31">
        <v>1</v>
      </c>
      <c r="F31" s="2">
        <v>1930</v>
      </c>
      <c r="G31" s="3" t="s">
        <v>52</v>
      </c>
      <c r="H31" t="s">
        <v>7</v>
      </c>
    </row>
    <row r="32" spans="1:8" x14ac:dyDescent="0.3">
      <c r="F32" s="2">
        <f>SUM(F3:F31)</f>
        <v>260942</v>
      </c>
    </row>
  </sheetData>
  <hyperlinks>
    <hyperlink ref="G3" r:id="rId1" xr:uid="{CD52DF96-A306-4B44-9DFB-267E9B5AB060}"/>
    <hyperlink ref="G4" r:id="rId2" xr:uid="{9B82B45F-E366-4E3D-BAEA-02C3633959D5}"/>
    <hyperlink ref="G5" r:id="rId3" xr:uid="{991CB776-D4E8-4075-951B-94B225D78553}"/>
    <hyperlink ref="G7" r:id="rId4" xr:uid="{7BB22BA5-584A-4F49-BFFF-30F58C450109}"/>
    <hyperlink ref="G8" r:id="rId5" xr:uid="{75B35B6B-9CDB-4EA0-9FEE-23D02BAC03EF}"/>
    <hyperlink ref="G6" r:id="rId6" xr:uid="{95590B0A-7FD7-4C60-AE60-0BCA3C368D83}"/>
    <hyperlink ref="G20" r:id="rId7" xr:uid="{445CB8A4-1FB6-48FE-BF1C-16A768047128}"/>
    <hyperlink ref="G14" r:id="rId8" xr:uid="{F5871359-2DA4-49B6-83A2-A77C88609231}"/>
    <hyperlink ref="G13" r:id="rId9" xr:uid="{978BD899-C6FF-4658-B386-63F59F7BD44E}"/>
    <hyperlink ref="G21" r:id="rId10" xr:uid="{7226FF34-EB07-4A45-917B-45A4CE6E6B47}"/>
    <hyperlink ref="G15" r:id="rId11" xr:uid="{05A985A0-B906-46C1-85D2-0930A472CD5F}"/>
    <hyperlink ref="G16" r:id="rId12" xr:uid="{C68819E0-72FE-49DF-A613-EA5B745D1AB2}"/>
    <hyperlink ref="G22" r:id="rId13" xr:uid="{1ACEFD75-85AA-4475-9E41-B9FFFF798287}"/>
    <hyperlink ref="G17" r:id="rId14" xr:uid="{AD9465F1-1F4F-4290-B9A7-2E346A4E1969}"/>
    <hyperlink ref="G30" r:id="rId15" xr:uid="{77A3CC3B-E40C-4A69-B0E2-0C0CDDE70C23}"/>
    <hyperlink ref="G10" r:id="rId16" xr:uid="{604C0BAF-D47E-44F8-BCDE-04B60F248254}"/>
    <hyperlink ref="G31" r:id="rId17" xr:uid="{0F9B14A4-C4CE-4D68-8D44-46B5713EE920}"/>
    <hyperlink ref="G23" r:id="rId18" xr:uid="{55096B35-1058-40FF-916F-B328847F05BE}"/>
    <hyperlink ref="G24" r:id="rId19" xr:uid="{71DF4652-5B1B-4B7A-8C07-F1822DE484D5}"/>
    <hyperlink ref="G25" r:id="rId20" xr:uid="{8A231773-32E7-4FB2-B794-B7608D5DEF19}"/>
    <hyperlink ref="G26" r:id="rId21" xr:uid="{2FEDD91E-C5CA-4E26-B467-F69900F96A63}"/>
    <hyperlink ref="G27" r:id="rId22" xr:uid="{55BF030F-EAC0-4650-87EC-F516A961CDC5}"/>
    <hyperlink ref="G9" r:id="rId23" xr:uid="{CC5234CD-A20F-4B8C-8611-A4A03D4906BC}"/>
    <hyperlink ref="G11" r:id="rId24" xr:uid="{4FB91BA0-570E-4CD9-9D88-BCEA0A4E642C}"/>
    <hyperlink ref="G18" r:id="rId25" xr:uid="{63421192-575D-4972-9523-2F96EC4DE149}"/>
    <hyperlink ref="G19" r:id="rId26" xr:uid="{7D0A12A5-E5DB-4066-9AD4-CFDBB858F0AB}"/>
    <hyperlink ref="G28" r:id="rId27" xr:uid="{A41AC019-4652-4064-9229-B6A6E31EA809}"/>
    <hyperlink ref="G29" r:id="rId28" xr:uid="{808D8952-68FC-4C39-BEC2-D9C363541E5C}"/>
    <hyperlink ref="G12" r:id="rId29" xr:uid="{3225031C-607E-47D9-9D08-717DA5257423}"/>
    <hyperlink ref="I4" r:id="rId30" xr:uid="{81A58549-E010-477D-AB12-71DB4A5A8E95}"/>
    <hyperlink ref="I3" r:id="rId31" xr:uid="{4ACB3CDB-95F9-4E09-8F1B-788D3C069B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8DC2-9FD4-40DD-A2C7-88AECAAFD6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7297-3209-46F6-9FD0-4E9E85A78F07}">
  <dimension ref="A1:H32"/>
  <sheetViews>
    <sheetView workbookViewId="0">
      <selection activeCell="F7" sqref="F7"/>
    </sheetView>
  </sheetViews>
  <sheetFormatPr defaultRowHeight="14.4" x14ac:dyDescent="0.3"/>
  <cols>
    <col min="2" max="2" width="19.109375" bestFit="1" customWidth="1"/>
    <col min="4" max="4" width="18.6640625" bestFit="1" customWidth="1"/>
    <col min="8" max="8" width="12" bestFit="1" customWidth="1"/>
  </cols>
  <sheetData>
    <row r="1" spans="1:8" x14ac:dyDescent="0.3">
      <c r="A1" s="1" t="s">
        <v>14</v>
      </c>
    </row>
    <row r="2" spans="1:8" x14ac:dyDescent="0.3">
      <c r="A2" s="4" t="s">
        <v>0</v>
      </c>
      <c r="B2" s="4" t="s">
        <v>5</v>
      </c>
      <c r="C2" s="4" t="s">
        <v>3</v>
      </c>
      <c r="D2" s="4" t="s">
        <v>4</v>
      </c>
      <c r="E2" s="4" t="s">
        <v>8</v>
      </c>
      <c r="F2" s="4" t="s">
        <v>6</v>
      </c>
      <c r="G2" s="4" t="s">
        <v>1</v>
      </c>
      <c r="H2" s="4" t="s">
        <v>2</v>
      </c>
    </row>
    <row r="3" spans="1:8" x14ac:dyDescent="0.3">
      <c r="A3">
        <v>1</v>
      </c>
      <c r="B3" t="s">
        <v>15</v>
      </c>
      <c r="C3" t="s">
        <v>10</v>
      </c>
      <c r="D3" t="s">
        <v>11</v>
      </c>
      <c r="E3">
        <v>2</v>
      </c>
      <c r="F3" s="2">
        <v>35000</v>
      </c>
      <c r="G3" s="3" t="s">
        <v>12</v>
      </c>
      <c r="H3" t="s">
        <v>70</v>
      </c>
    </row>
    <row r="4" spans="1:8" x14ac:dyDescent="0.3">
      <c r="A4">
        <v>2</v>
      </c>
      <c r="B4" t="s">
        <v>9</v>
      </c>
      <c r="C4" t="s">
        <v>10</v>
      </c>
      <c r="D4" t="s">
        <v>83</v>
      </c>
      <c r="E4">
        <v>5</v>
      </c>
      <c r="F4" s="2">
        <v>40000</v>
      </c>
      <c r="G4" s="3" t="s">
        <v>13</v>
      </c>
      <c r="H4" t="s">
        <v>70</v>
      </c>
    </row>
    <row r="5" spans="1:8" x14ac:dyDescent="0.3">
      <c r="A5">
        <v>3</v>
      </c>
      <c r="B5" t="s">
        <v>27</v>
      </c>
      <c r="C5" t="s">
        <v>10</v>
      </c>
      <c r="D5" t="s">
        <v>28</v>
      </c>
      <c r="E5">
        <v>1</v>
      </c>
      <c r="F5" s="2">
        <v>3420</v>
      </c>
      <c r="G5" s="3" t="s">
        <v>71</v>
      </c>
      <c r="H5" t="s">
        <v>70</v>
      </c>
    </row>
    <row r="6" spans="1:8" x14ac:dyDescent="0.3">
      <c r="A6">
        <v>4</v>
      </c>
      <c r="B6" t="s">
        <v>17</v>
      </c>
      <c r="C6" t="s">
        <v>10</v>
      </c>
      <c r="D6" t="s">
        <v>18</v>
      </c>
      <c r="E6">
        <v>4</v>
      </c>
      <c r="F6" s="2">
        <v>0</v>
      </c>
      <c r="G6" s="3" t="s">
        <v>25</v>
      </c>
      <c r="H6" t="s">
        <v>26</v>
      </c>
    </row>
    <row r="7" spans="1:8" x14ac:dyDescent="0.3">
      <c r="A7">
        <v>5</v>
      </c>
      <c r="B7" t="s">
        <v>19</v>
      </c>
      <c r="C7" t="s">
        <v>10</v>
      </c>
      <c r="D7" t="s">
        <v>20</v>
      </c>
      <c r="E7">
        <v>1</v>
      </c>
      <c r="F7" s="2">
        <v>14820</v>
      </c>
      <c r="G7" s="3" t="s">
        <v>21</v>
      </c>
      <c r="H7" t="s">
        <v>7</v>
      </c>
    </row>
    <row r="8" spans="1:8" x14ac:dyDescent="0.3">
      <c r="A8">
        <v>6</v>
      </c>
      <c r="B8" t="s">
        <v>22</v>
      </c>
      <c r="C8" t="s">
        <v>10</v>
      </c>
      <c r="D8" t="s">
        <v>24</v>
      </c>
      <c r="E8">
        <v>1</v>
      </c>
      <c r="F8" s="2">
        <v>4000</v>
      </c>
      <c r="G8" s="3" t="s">
        <v>23</v>
      </c>
      <c r="H8" t="s">
        <v>7</v>
      </c>
    </row>
    <row r="9" spans="1:8" x14ac:dyDescent="0.3">
      <c r="A9">
        <v>7</v>
      </c>
      <c r="B9" t="s">
        <v>58</v>
      </c>
      <c r="C9" t="s">
        <v>10</v>
      </c>
      <c r="D9" t="s">
        <v>59</v>
      </c>
      <c r="E9">
        <v>1</v>
      </c>
      <c r="F9" s="2">
        <v>3420</v>
      </c>
      <c r="G9" s="3" t="s">
        <v>60</v>
      </c>
      <c r="H9" t="s">
        <v>7</v>
      </c>
    </row>
    <row r="10" spans="1:8" x14ac:dyDescent="0.3">
      <c r="A10">
        <v>8</v>
      </c>
      <c r="B10" t="s">
        <v>51</v>
      </c>
      <c r="C10" t="s">
        <v>10</v>
      </c>
      <c r="D10" t="s">
        <v>50</v>
      </c>
      <c r="E10">
        <v>1</v>
      </c>
      <c r="F10" s="2">
        <v>342</v>
      </c>
      <c r="G10" s="3" t="s">
        <v>49</v>
      </c>
      <c r="H10" t="s">
        <v>7</v>
      </c>
    </row>
    <row r="11" spans="1:8" x14ac:dyDescent="0.3">
      <c r="A11">
        <v>9</v>
      </c>
      <c r="B11" t="s">
        <v>62</v>
      </c>
      <c r="C11" t="s">
        <v>10</v>
      </c>
      <c r="D11" t="s">
        <v>63</v>
      </c>
      <c r="E11">
        <v>1</v>
      </c>
      <c r="F11" s="2">
        <v>1140</v>
      </c>
      <c r="G11" s="3" t="s">
        <v>61</v>
      </c>
      <c r="H11" t="s">
        <v>7</v>
      </c>
    </row>
    <row r="12" spans="1:8" x14ac:dyDescent="0.3">
      <c r="A12">
        <v>10</v>
      </c>
      <c r="B12" t="s">
        <v>68</v>
      </c>
      <c r="C12" t="s">
        <v>10</v>
      </c>
      <c r="D12" t="s">
        <v>84</v>
      </c>
      <c r="E12">
        <v>1</v>
      </c>
      <c r="F12" s="2">
        <v>456</v>
      </c>
      <c r="G12" s="3" t="s">
        <v>69</v>
      </c>
      <c r="H12" t="s">
        <v>70</v>
      </c>
    </row>
    <row r="13" spans="1:8" x14ac:dyDescent="0.3">
      <c r="A13">
        <v>11</v>
      </c>
      <c r="B13" t="s">
        <v>16</v>
      </c>
      <c r="C13" t="s">
        <v>10</v>
      </c>
      <c r="D13" t="s">
        <v>30</v>
      </c>
      <c r="E13">
        <v>4</v>
      </c>
      <c r="F13" s="2">
        <v>380</v>
      </c>
      <c r="G13" s="3" t="s">
        <v>35</v>
      </c>
      <c r="H13" t="s">
        <v>7</v>
      </c>
    </row>
    <row r="14" spans="1:8" x14ac:dyDescent="0.3">
      <c r="A14">
        <v>12</v>
      </c>
      <c r="B14" t="s">
        <v>33</v>
      </c>
      <c r="C14" t="s">
        <v>10</v>
      </c>
      <c r="D14" t="s">
        <v>30</v>
      </c>
      <c r="E14">
        <v>3</v>
      </c>
      <c r="F14" s="2">
        <v>285</v>
      </c>
      <c r="G14" s="3" t="s">
        <v>34</v>
      </c>
      <c r="H14" t="s">
        <v>7</v>
      </c>
    </row>
    <row r="15" spans="1:8" x14ac:dyDescent="0.3">
      <c r="A15">
        <v>13</v>
      </c>
      <c r="B15" t="s">
        <v>39</v>
      </c>
      <c r="C15" t="s">
        <v>10</v>
      </c>
      <c r="D15" t="s">
        <v>30</v>
      </c>
      <c r="E15">
        <v>11</v>
      </c>
      <c r="F15" s="2">
        <v>1045</v>
      </c>
      <c r="G15" s="3" t="s">
        <v>38</v>
      </c>
      <c r="H15" t="s">
        <v>7</v>
      </c>
    </row>
    <row r="16" spans="1:8" x14ac:dyDescent="0.3">
      <c r="A16">
        <v>14</v>
      </c>
      <c r="B16" t="s">
        <v>41</v>
      </c>
      <c r="C16" t="s">
        <v>10</v>
      </c>
      <c r="D16" t="s">
        <v>30</v>
      </c>
      <c r="E16">
        <v>4</v>
      </c>
      <c r="F16" s="2">
        <v>380</v>
      </c>
      <c r="G16" s="3" t="s">
        <v>40</v>
      </c>
      <c r="H16" t="s">
        <v>7</v>
      </c>
    </row>
    <row r="17" spans="1:8" x14ac:dyDescent="0.3">
      <c r="A17">
        <v>15</v>
      </c>
      <c r="B17" t="s">
        <v>72</v>
      </c>
      <c r="C17" t="s">
        <v>10</v>
      </c>
      <c r="D17" t="s">
        <v>30</v>
      </c>
      <c r="E17">
        <v>6</v>
      </c>
      <c r="F17" s="2">
        <v>570</v>
      </c>
      <c r="G17" s="3" t="s">
        <v>44</v>
      </c>
      <c r="H17" t="s">
        <v>7</v>
      </c>
    </row>
    <row r="18" spans="1:8" x14ac:dyDescent="0.3">
      <c r="A18">
        <v>16</v>
      </c>
      <c r="B18" t="s">
        <v>73</v>
      </c>
      <c r="C18" t="s">
        <v>10</v>
      </c>
      <c r="D18" t="s">
        <v>30</v>
      </c>
      <c r="E18">
        <v>50</v>
      </c>
      <c r="F18" s="2">
        <v>1000</v>
      </c>
      <c r="G18" s="3" t="s">
        <v>64</v>
      </c>
      <c r="H18" t="s">
        <v>7</v>
      </c>
    </row>
    <row r="19" spans="1:8" x14ac:dyDescent="0.3">
      <c r="A19">
        <v>17</v>
      </c>
      <c r="B19" t="s">
        <v>74</v>
      </c>
      <c r="C19" t="s">
        <v>10</v>
      </c>
      <c r="D19" t="s">
        <v>30</v>
      </c>
      <c r="E19">
        <v>50</v>
      </c>
      <c r="F19" s="2">
        <v>1000</v>
      </c>
      <c r="G19" s="3" t="s">
        <v>65</v>
      </c>
      <c r="H19" t="s">
        <v>7</v>
      </c>
    </row>
    <row r="20" spans="1:8" x14ac:dyDescent="0.3">
      <c r="A20">
        <v>18</v>
      </c>
      <c r="B20" t="s">
        <v>29</v>
      </c>
      <c r="C20" t="s">
        <v>10</v>
      </c>
      <c r="D20" t="s">
        <v>31</v>
      </c>
      <c r="E20">
        <v>20</v>
      </c>
      <c r="F20" s="2">
        <v>1000</v>
      </c>
      <c r="G20" s="3" t="s">
        <v>32</v>
      </c>
      <c r="H20" t="s">
        <v>7</v>
      </c>
    </row>
    <row r="21" spans="1:8" x14ac:dyDescent="0.3">
      <c r="A21">
        <v>19</v>
      </c>
      <c r="B21" t="s">
        <v>37</v>
      </c>
      <c r="C21" t="s">
        <v>10</v>
      </c>
      <c r="D21" t="s">
        <v>31</v>
      </c>
      <c r="E21">
        <v>20</v>
      </c>
      <c r="F21" s="2">
        <v>1000</v>
      </c>
      <c r="G21" s="3" t="s">
        <v>36</v>
      </c>
      <c r="H21" t="s">
        <v>7</v>
      </c>
    </row>
    <row r="22" spans="1:8" x14ac:dyDescent="0.3">
      <c r="A22">
        <v>20</v>
      </c>
      <c r="B22" t="s">
        <v>43</v>
      </c>
      <c r="C22" t="s">
        <v>10</v>
      </c>
      <c r="D22" t="s">
        <v>31</v>
      </c>
      <c r="E22">
        <v>20</v>
      </c>
      <c r="F22" s="2">
        <v>1000</v>
      </c>
      <c r="G22" s="3" t="s">
        <v>42</v>
      </c>
      <c r="H22" t="s">
        <v>7</v>
      </c>
    </row>
    <row r="23" spans="1:8" x14ac:dyDescent="0.3">
      <c r="A23">
        <v>21</v>
      </c>
      <c r="B23" t="s">
        <v>75</v>
      </c>
      <c r="C23" t="s">
        <v>10</v>
      </c>
      <c r="D23" t="s">
        <v>31</v>
      </c>
      <c r="E23">
        <v>20</v>
      </c>
      <c r="F23" s="2">
        <v>1000</v>
      </c>
      <c r="G23" s="3" t="s">
        <v>53</v>
      </c>
      <c r="H23" t="s">
        <v>7</v>
      </c>
    </row>
    <row r="24" spans="1:8" x14ac:dyDescent="0.3">
      <c r="A24">
        <v>22</v>
      </c>
      <c r="B24" t="s">
        <v>76</v>
      </c>
      <c r="C24" t="s">
        <v>10</v>
      </c>
      <c r="D24" t="s">
        <v>31</v>
      </c>
      <c r="E24">
        <v>10</v>
      </c>
      <c r="F24" s="2">
        <v>1000</v>
      </c>
      <c r="G24" s="3" t="s">
        <v>54</v>
      </c>
      <c r="H24" t="s">
        <v>7</v>
      </c>
    </row>
    <row r="25" spans="1:8" x14ac:dyDescent="0.3">
      <c r="A25">
        <v>23</v>
      </c>
      <c r="B25" t="s">
        <v>77</v>
      </c>
      <c r="C25" t="s">
        <v>10</v>
      </c>
      <c r="D25" t="s">
        <v>31</v>
      </c>
      <c r="E25">
        <v>10</v>
      </c>
      <c r="F25" s="2">
        <v>1000</v>
      </c>
      <c r="G25" s="3" t="s">
        <v>55</v>
      </c>
      <c r="H25" t="s">
        <v>7</v>
      </c>
    </row>
    <row r="26" spans="1:8" x14ac:dyDescent="0.3">
      <c r="A26">
        <v>24</v>
      </c>
      <c r="B26" t="s">
        <v>78</v>
      </c>
      <c r="C26" t="s">
        <v>10</v>
      </c>
      <c r="D26" t="s">
        <v>31</v>
      </c>
      <c r="E26">
        <v>10</v>
      </c>
      <c r="F26" s="2">
        <v>6840</v>
      </c>
      <c r="G26" s="3" t="s">
        <v>56</v>
      </c>
      <c r="H26" t="s">
        <v>7</v>
      </c>
    </row>
    <row r="27" spans="1:8" x14ac:dyDescent="0.3">
      <c r="A27">
        <v>25</v>
      </c>
      <c r="B27" t="s">
        <v>79</v>
      </c>
      <c r="C27" t="s">
        <v>10</v>
      </c>
      <c r="D27" t="s">
        <v>31</v>
      </c>
      <c r="E27">
        <v>5</v>
      </c>
      <c r="F27" s="2">
        <v>8550</v>
      </c>
      <c r="G27" s="3" t="s">
        <v>57</v>
      </c>
      <c r="H27" t="s">
        <v>7</v>
      </c>
    </row>
    <row r="28" spans="1:8" x14ac:dyDescent="0.3">
      <c r="A28">
        <v>26</v>
      </c>
      <c r="B28" t="s">
        <v>80</v>
      </c>
      <c r="C28" t="s">
        <v>10</v>
      </c>
      <c r="D28" t="s">
        <v>31</v>
      </c>
      <c r="E28">
        <v>20</v>
      </c>
      <c r="F28" s="2">
        <v>10260</v>
      </c>
      <c r="G28" s="3" t="s">
        <v>66</v>
      </c>
      <c r="H28" t="s">
        <v>7</v>
      </c>
    </row>
    <row r="29" spans="1:8" x14ac:dyDescent="0.3">
      <c r="A29">
        <v>27</v>
      </c>
      <c r="B29" t="s">
        <v>81</v>
      </c>
      <c r="C29" t="s">
        <v>10</v>
      </c>
      <c r="D29" t="s">
        <v>31</v>
      </c>
      <c r="E29">
        <v>3</v>
      </c>
      <c r="F29" s="2">
        <v>7182</v>
      </c>
      <c r="G29" s="3" t="s">
        <v>67</v>
      </c>
      <c r="H29" t="s">
        <v>7</v>
      </c>
    </row>
    <row r="30" spans="1:8" x14ac:dyDescent="0.3">
      <c r="A30">
        <v>28</v>
      </c>
      <c r="B30" t="s">
        <v>46</v>
      </c>
      <c r="C30" t="s">
        <v>47</v>
      </c>
      <c r="D30" t="s">
        <v>48</v>
      </c>
      <c r="E30">
        <v>1</v>
      </c>
      <c r="F30" s="2">
        <v>4000</v>
      </c>
      <c r="G30" s="3" t="s">
        <v>45</v>
      </c>
      <c r="H30" t="s">
        <v>7</v>
      </c>
    </row>
    <row r="31" spans="1:8" x14ac:dyDescent="0.3">
      <c r="A31">
        <v>29</v>
      </c>
      <c r="B31" t="s">
        <v>82</v>
      </c>
      <c r="C31" t="s">
        <v>10</v>
      </c>
      <c r="D31" t="s">
        <v>48</v>
      </c>
      <c r="E31">
        <v>1</v>
      </c>
      <c r="F31" s="2">
        <v>1930</v>
      </c>
      <c r="G31" s="3" t="s">
        <v>52</v>
      </c>
      <c r="H31" t="s">
        <v>7</v>
      </c>
    </row>
    <row r="32" spans="1:8" x14ac:dyDescent="0.3">
      <c r="F32" s="2">
        <f>SUM(F3:F31)</f>
        <v>152020</v>
      </c>
    </row>
  </sheetData>
  <hyperlinks>
    <hyperlink ref="G3" r:id="rId1" xr:uid="{AC2268EB-E416-446C-9E3C-60F5219312A7}"/>
    <hyperlink ref="G4" r:id="rId2" xr:uid="{0CB9EB0F-4E14-4924-AFE9-A0E7BD580B96}"/>
    <hyperlink ref="G5" r:id="rId3" xr:uid="{3D885D5C-F522-4890-BAFC-BB80CABEBF47}"/>
    <hyperlink ref="G7" r:id="rId4" xr:uid="{A20D037D-6E68-45CA-BDBD-9DFF72ABB4B8}"/>
    <hyperlink ref="G8" r:id="rId5" xr:uid="{31EC22ED-E095-4B1C-8046-CA182FAE7B0E}"/>
    <hyperlink ref="G6" r:id="rId6" xr:uid="{0D1CF88B-D787-4209-ABBE-8ECD635AF7A0}"/>
    <hyperlink ref="G20" r:id="rId7" xr:uid="{13FB27F3-BE7D-44C7-9DF2-69F998863275}"/>
    <hyperlink ref="G14" r:id="rId8" xr:uid="{8CA4DC1E-7C42-4629-9CEE-2EF36640E4C9}"/>
    <hyperlink ref="G13" r:id="rId9" xr:uid="{4A93B263-E3D4-47A5-B18E-F26B84A0D6DE}"/>
    <hyperlink ref="G21" r:id="rId10" xr:uid="{F2E5CDCA-225C-4FEC-9AB1-B67D8548CF79}"/>
    <hyperlink ref="G15" r:id="rId11" xr:uid="{EB89AF07-28C8-41C9-80DA-99B4457CFD35}"/>
    <hyperlink ref="G16" r:id="rId12" xr:uid="{CCF0FA7F-FB43-4C37-98E3-F053C586221D}"/>
    <hyperlink ref="G22" r:id="rId13" xr:uid="{21D84770-6589-4C8B-9CD2-1BBAACF45DB7}"/>
    <hyperlink ref="G17" r:id="rId14" xr:uid="{97510E21-65FF-4DB2-977F-BD853E12AAD2}"/>
    <hyperlink ref="G30" r:id="rId15" xr:uid="{F248237D-51E3-4363-A0FD-87E4D4791797}"/>
    <hyperlink ref="G10" r:id="rId16" xr:uid="{864AB30E-925B-482A-B46B-73A019D74B51}"/>
    <hyperlink ref="G31" r:id="rId17" xr:uid="{7827CA70-E293-47A4-A6AB-679CA10CB1E1}"/>
    <hyperlink ref="G23" r:id="rId18" xr:uid="{A2D9234E-1E96-4810-9E67-0684A956BC32}"/>
    <hyperlink ref="G24" r:id="rId19" xr:uid="{3FCB413D-F5CA-4461-A530-8DD09869E90E}"/>
    <hyperlink ref="G25" r:id="rId20" xr:uid="{12402EAD-11EA-44D6-97C6-095171CCAD54}"/>
    <hyperlink ref="G26" r:id="rId21" xr:uid="{1F48F2E4-CC5D-47AF-883C-A80C4D5F115B}"/>
    <hyperlink ref="G27" r:id="rId22" xr:uid="{2D077328-B74F-4A5E-824E-043FD7F651BC}"/>
    <hyperlink ref="G9" r:id="rId23" xr:uid="{F13BDEDD-EDC9-47C7-A973-D455A49D61FE}"/>
    <hyperlink ref="G11" r:id="rId24" xr:uid="{6E3F2F9F-63F3-47DB-81BD-BBE3CA5825BC}"/>
    <hyperlink ref="G18" r:id="rId25" xr:uid="{9F47887A-9DB7-43AC-AD1D-6843E31C638E}"/>
    <hyperlink ref="G19" r:id="rId26" xr:uid="{C1EB0343-0343-439F-BAA6-B0DDF992BA48}"/>
    <hyperlink ref="G28" r:id="rId27" xr:uid="{241BB10F-DF21-4979-8F0B-51A969FD5B21}"/>
    <hyperlink ref="G29" r:id="rId28" xr:uid="{DB9E8CF7-31AD-46E3-B801-5378217BF462}"/>
    <hyperlink ref="G12" r:id="rId29" xr:uid="{D241FD64-0BCD-4655-9134-F2441550EF0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E656-8734-46B2-B6BD-1DAD72DCD832}">
  <dimension ref="A2:V7"/>
  <sheetViews>
    <sheetView zoomScale="85" zoomScaleNormal="85" workbookViewId="0">
      <selection activeCell="R19" sqref="R19"/>
    </sheetView>
  </sheetViews>
  <sheetFormatPr defaultRowHeight="14.4" x14ac:dyDescent="0.3"/>
  <cols>
    <col min="1" max="1" width="24.6640625" bestFit="1" customWidth="1"/>
    <col min="2" max="2" width="18.5546875" bestFit="1" customWidth="1"/>
  </cols>
  <sheetData>
    <row r="2" spans="1:22" x14ac:dyDescent="0.3">
      <c r="B2" t="s">
        <v>88</v>
      </c>
      <c r="C2" t="s">
        <v>90</v>
      </c>
      <c r="D2" t="s">
        <v>91</v>
      </c>
      <c r="E2" t="s">
        <v>92</v>
      </c>
    </row>
    <row r="3" spans="1:22" x14ac:dyDescent="0.3">
      <c r="A3" t="s">
        <v>85</v>
      </c>
      <c r="B3">
        <v>1</v>
      </c>
      <c r="C3">
        <v>0</v>
      </c>
      <c r="D3">
        <v>0</v>
      </c>
      <c r="E3">
        <v>1</v>
      </c>
      <c r="S3" t="s">
        <v>89</v>
      </c>
      <c r="T3" t="s">
        <v>90</v>
      </c>
      <c r="U3" t="s">
        <v>92</v>
      </c>
      <c r="V3" t="s">
        <v>91</v>
      </c>
    </row>
    <row r="4" spans="1:22" x14ac:dyDescent="0.3">
      <c r="A4" t="s">
        <v>86</v>
      </c>
      <c r="B4">
        <v>1</v>
      </c>
      <c r="C4">
        <v>1</v>
      </c>
      <c r="D4">
        <v>1</v>
      </c>
      <c r="E4">
        <v>0</v>
      </c>
      <c r="S4">
        <v>1</v>
      </c>
      <c r="T4">
        <v>0</v>
      </c>
    </row>
    <row r="5" spans="1:22" x14ac:dyDescent="0.3">
      <c r="A5" t="s">
        <v>87</v>
      </c>
      <c r="B5">
        <v>0</v>
      </c>
      <c r="C5" t="s">
        <v>93</v>
      </c>
      <c r="D5">
        <v>0</v>
      </c>
      <c r="E5">
        <v>0</v>
      </c>
    </row>
    <row r="7" spans="1:22" x14ac:dyDescent="0.3">
      <c r="A7" t="s"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HaiAnh</dc:creator>
  <cp:lastModifiedBy>HaiAnh</cp:lastModifiedBy>
  <dcterms:created xsi:type="dcterms:W3CDTF">2026-06-23T01:54:29Z</dcterms:created>
  <dcterms:modified xsi:type="dcterms:W3CDTF">2026-07-07T01:04:26Z</dcterms:modified>
</cp:coreProperties>
</file>